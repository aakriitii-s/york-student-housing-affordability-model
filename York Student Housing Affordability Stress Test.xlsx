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riti/Downloads/my projects/Project 2/"/>
    </mc:Choice>
  </mc:AlternateContent>
  <xr:revisionPtr revIDLastSave="0" documentId="13_ncr:1_{0F3094DC-209E-B64C-A826-6EC41B7D9B81}" xr6:coauthVersionLast="47" xr6:coauthVersionMax="47" xr10:uidLastSave="{00000000-0000-0000-0000-000000000000}"/>
  <bookViews>
    <workbookView xWindow="0" yWindow="660" windowWidth="29400" windowHeight="16720" xr2:uid="{8D669D16-47D9-FE4B-AC39-E94E313C1B1A}"/>
  </bookViews>
  <sheets>
    <sheet name="Student_Scenarios" sheetId="1" r:id="rId1"/>
    <sheet name="Dashboar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2" i="1"/>
  <c r="I3" i="1"/>
  <c r="I4" i="1"/>
  <c r="I5" i="1"/>
  <c r="I6" i="1"/>
  <c r="I2" i="1"/>
  <c r="G3" i="1"/>
  <c r="H3" i="1" s="1"/>
  <c r="G4" i="1"/>
  <c r="H4" i="1" s="1"/>
  <c r="G5" i="1"/>
  <c r="H5" i="1" s="1"/>
  <c r="G6" i="1"/>
  <c r="H6" i="1" s="1"/>
  <c r="G2" i="1"/>
  <c r="H2" i="1" s="1"/>
</calcChain>
</file>

<file path=xl/sharedStrings.xml><?xml version="1.0" encoding="utf-8"?>
<sst xmlns="http://schemas.openxmlformats.org/spreadsheetml/2006/main" count="44" uniqueCount="43">
  <si>
    <t>Maintenance (£/month)</t>
  </si>
  <si>
    <t>Work income (£/month)</t>
  </si>
  <si>
    <t>Student type</t>
  </si>
  <si>
    <t>Total income (£/month)</t>
  </si>
  <si>
    <t>Domestic (minimum support)</t>
  </si>
  <si>
    <t>Domestic (no job)</t>
  </si>
  <si>
    <t>International (part-time job)</t>
  </si>
  <si>
    <t>International (no job)</t>
  </si>
  <si>
    <t>Working full-time student (minimum wage)</t>
  </si>
  <si>
    <t>Full time Income Assumption</t>
  </si>
  <si>
    <t>£10/hour</t>
  </si>
  <si>
    <t>40 hours/week</t>
  </si>
  <si>
    <t>4.33 weeks/month</t>
  </si>
  <si>
    <t>: 10 * 40 * 4.33 = 1732</t>
  </si>
  <si>
    <t>Full-time work is used as a sensitivity case and may not be permitted during term time under student visa conditions.</t>
  </si>
  <si>
    <t>Variable</t>
  </si>
  <si>
    <t>Value</t>
  </si>
  <si>
    <t>Rent Burden %</t>
  </si>
  <si>
    <t>Affordability Status</t>
  </si>
  <si>
    <t>Residual income</t>
  </si>
  <si>
    <t>York Student Housing Affordability Stress Test</t>
  </si>
  <si>
    <t>Market segment: York 1-bedroom rental properties</t>
  </si>
  <si>
    <t>Source: Homenicom / York rental market data (June 2026)</t>
  </si>
  <si>
    <t>York average 1-bedroom rent (Jun 2026)</t>
  </si>
  <si>
    <t>Key Findings</t>
  </si>
  <si>
    <t>A student with no employment income cannot independently meet average 1-bedroom rent.</t>
  </si>
  <si>
    <t>A domestic student receiving minimum support and working 15 hours per week spends approximately 73% of monthly income on a typical York 1-bedroom rent.</t>
  </si>
  <si>
    <t>An international student relying solely on part-time work spends approximately 133% of income on rent, implying a monthly housing deficit.</t>
  </si>
  <si>
    <t>Even the full-time employment sensitivity case remains above the conventional 30% affordability threshold.</t>
  </si>
  <si>
    <t>York average 1-bed rent</t>
  </si>
  <si>
    <t>Lowest rent burden</t>
  </si>
  <si>
    <t>Highest rent burden</t>
  </si>
  <si>
    <t>International no-job scenario</t>
  </si>
  <si>
    <t>No independent affordability</t>
  </si>
  <si>
    <t>No</t>
  </si>
  <si>
    <t>Title</t>
  </si>
  <si>
    <t>Summary</t>
  </si>
  <si>
    <t>The analysis focuses on the York 1-bedroom rental market to provide a consistent comparison across student housing scenarios.</t>
  </si>
  <si>
    <t>Affordability Stress Score</t>
  </si>
  <si>
    <t>Inflation projection</t>
  </si>
  <si>
    <t>0–30 = Low
31–60 = Medium
61–100 = High
100+ = Critical</t>
  </si>
  <si>
    <t>Required hourly wage</t>
  </si>
  <si>
    <t>a student working 15 hours/week would need roughly £13.33/hour to cover average 1-bed rent without maintenance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</si>
</sst>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NPR&quot;* #,##0.00_);_(&quot;NPR&quot;* \(#,##0.00\);_(&quot;NPR&quot;* &quot;-&quot;??_);_(@_)"/>
    <numFmt numFmtId="164" formatCode="[$£-809]#,##0.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3.5"/>
      <color theme="1"/>
      <name val="Aptos Narrow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20">
    <xf numFmtId="0" fontId="0" fillId="0" borderId="0" xfId="0"/>
    <xf numFmtId="0" fontId="3" fillId="0" borderId="0" xfId="0" applyFont="1"/>
    <xf numFmtId="4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44" fontId="0" fillId="3" borderId="2" xfId="2" applyNumberFormat="1" applyFont="1" applyAlignment="1">
      <alignment horizontal="center" wrapText="1"/>
    </xf>
    <xf numFmtId="44" fontId="2" fillId="2" borderId="1" xfId="1" applyNumberFormat="1"/>
    <xf numFmtId="10" fontId="0" fillId="0" borderId="0" xfId="0" applyNumberFormat="1"/>
    <xf numFmtId="0" fontId="5" fillId="4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3" borderId="2" xfId="2" applyFont="1" applyAlignment="1">
      <alignment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3" borderId="2" xfId="2" applyFont="1" applyAlignment="1">
      <alignment vertical="top" wrapText="1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FE04B2-57C1-AD4B-A831-9ECDCA995589}" name="Table2" displayName="Table2" ref="A3:B8" totalsRowShown="0">
  <autoFilter ref="A3:B8" xr:uid="{86FE04B2-57C1-AD4B-A831-9ECDCA995589}"/>
  <tableColumns count="2">
    <tableColumn id="1" xr3:uid="{0866CA16-10E5-524A-89F9-6580C3FB2533}" name="Title"/>
    <tableColumn id="2" xr3:uid="{5229080C-D69A-8C48-9594-18ED828818A0}" name="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D700-A9E0-024D-B87F-37FC8B553FDC}">
  <dimension ref="A1:L14"/>
  <sheetViews>
    <sheetView tabSelected="1" zoomScale="68" zoomScaleNormal="75" workbookViewId="0">
      <selection activeCell="F12" sqref="F12"/>
    </sheetView>
  </sheetViews>
  <sheetFormatPr baseColWidth="10" defaultRowHeight="16" x14ac:dyDescent="0.2"/>
  <cols>
    <col min="1" max="1" width="46.5" customWidth="1"/>
    <col min="2" max="2" width="29.5" style="3" customWidth="1"/>
    <col min="3" max="3" width="23.6640625" customWidth="1"/>
    <col min="4" max="4" width="31.5" customWidth="1"/>
    <col min="5" max="5" width="37" style="4" customWidth="1"/>
    <col min="6" max="6" width="24.6640625" customWidth="1"/>
    <col min="7" max="7" width="18.83203125" style="4" customWidth="1"/>
    <col min="8" max="8" width="20" customWidth="1"/>
    <col min="9" max="9" width="17.83203125" customWidth="1"/>
    <col min="10" max="10" width="23" customWidth="1"/>
    <col min="11" max="11" width="17.33203125" customWidth="1"/>
    <col min="12" max="12" width="25.83203125" customWidth="1"/>
  </cols>
  <sheetData>
    <row r="1" spans="1:12" x14ac:dyDescent="0.2">
      <c r="A1" s="1" t="s">
        <v>2</v>
      </c>
      <c r="B1" s="5" t="s">
        <v>0</v>
      </c>
      <c r="C1" s="5" t="s">
        <v>1</v>
      </c>
      <c r="D1" s="5" t="s">
        <v>3</v>
      </c>
      <c r="E1" s="1" t="s">
        <v>15</v>
      </c>
      <c r="F1" s="5" t="s">
        <v>16</v>
      </c>
      <c r="G1" s="5" t="s">
        <v>17</v>
      </c>
      <c r="H1" s="6" t="s">
        <v>18</v>
      </c>
      <c r="I1" s="5" t="s">
        <v>19</v>
      </c>
      <c r="J1" s="5" t="s">
        <v>38</v>
      </c>
      <c r="K1" s="5" t="s">
        <v>39</v>
      </c>
      <c r="L1" s="5" t="s">
        <v>41</v>
      </c>
    </row>
    <row r="2" spans="1:12" x14ac:dyDescent="0.2">
      <c r="A2" t="s">
        <v>4</v>
      </c>
      <c r="B2" s="4">
        <v>533</v>
      </c>
      <c r="C2" s="4">
        <v>650</v>
      </c>
      <c r="D2" s="4">
        <v>1183</v>
      </c>
      <c r="E2" t="s">
        <v>23</v>
      </c>
      <c r="F2" s="4">
        <v>866</v>
      </c>
      <c r="G2" s="9">
        <f>IF(D2=0,"N/A",$F$2/D2)</f>
        <v>0.73203719357565511</v>
      </c>
      <c r="H2" t="str">
        <f>IF(G2="N/A","No income",IF(G2&lt;=30%,"Affordable",IF(G2&lt;=50%,"Moderate burden","Severe burden")))</f>
        <v>Severe burden</v>
      </c>
      <c r="I2" s="4">
        <f>D2-$F$2</f>
        <v>317</v>
      </c>
      <c r="J2" t="str">
        <f>IF(G2="N/A","No income",IF(G2&lt;=30%,"Low",IF(G2&lt;=60%,"Medium",IF(G2&lt;=100%,"High","Critical"))))</f>
        <v>High</v>
      </c>
      <c r="K2">
        <f>866*(1+5.7%)</f>
        <v>915.36199999999997</v>
      </c>
      <c r="L2" s="4">
        <f>866/(15*4.33)</f>
        <v>13.333333333333332</v>
      </c>
    </row>
    <row r="3" spans="1:12" x14ac:dyDescent="0.2">
      <c r="A3" t="s">
        <v>5</v>
      </c>
      <c r="B3" s="4">
        <v>533</v>
      </c>
      <c r="C3" s="4">
        <v>0</v>
      </c>
      <c r="D3" s="4">
        <v>533</v>
      </c>
      <c r="E3"/>
      <c r="F3" s="4"/>
      <c r="G3" s="9">
        <f t="shared" ref="G3:G6" si="0">IF(D3=0,"N/A",$F$2/D3)</f>
        <v>1.6247654784240151</v>
      </c>
      <c r="H3" t="str">
        <f t="shared" ref="H3:H6" si="1">IF(G3="N/A","No income",IF(G3&lt;=30%,"Affordable",IF(G3&lt;=50%,"Moderate burden","Severe burden")))</f>
        <v>Severe burden</v>
      </c>
      <c r="I3" s="4">
        <f t="shared" ref="I3:I6" si="2">D3-$F$2</f>
        <v>-333</v>
      </c>
      <c r="J3" t="str">
        <f t="shared" ref="J3:J6" si="3">IF(G3="N/A","No income",IF(G3&lt;=30%,"Low",IF(G3&lt;=60%,"Medium",IF(G3&lt;=100%,"High","Critical"))))</f>
        <v>Critical</v>
      </c>
    </row>
    <row r="4" spans="1:12" x14ac:dyDescent="0.2">
      <c r="A4" t="s">
        <v>6</v>
      </c>
      <c r="B4" s="4">
        <v>0</v>
      </c>
      <c r="C4" s="4">
        <v>650</v>
      </c>
      <c r="D4" s="4">
        <v>650</v>
      </c>
      <c r="G4" s="9">
        <f t="shared" si="0"/>
        <v>1.3323076923076924</v>
      </c>
      <c r="H4" t="str">
        <f t="shared" si="1"/>
        <v>Severe burden</v>
      </c>
      <c r="I4" s="4">
        <f t="shared" si="2"/>
        <v>-216</v>
      </c>
      <c r="J4" t="str">
        <f t="shared" si="3"/>
        <v>Critical</v>
      </c>
    </row>
    <row r="5" spans="1:12" x14ac:dyDescent="0.2">
      <c r="A5" t="s">
        <v>7</v>
      </c>
      <c r="B5" s="4">
        <v>0</v>
      </c>
      <c r="C5" s="4">
        <v>0</v>
      </c>
      <c r="D5" s="4">
        <v>0</v>
      </c>
      <c r="G5" s="9" t="str">
        <f t="shared" si="0"/>
        <v>N/A</v>
      </c>
      <c r="H5" t="str">
        <f t="shared" si="1"/>
        <v>No income</v>
      </c>
      <c r="I5" s="4">
        <f t="shared" si="2"/>
        <v>-866</v>
      </c>
      <c r="J5" t="str">
        <f t="shared" si="3"/>
        <v>No income</v>
      </c>
    </row>
    <row r="6" spans="1:12" x14ac:dyDescent="0.2">
      <c r="A6" t="s">
        <v>8</v>
      </c>
      <c r="B6" s="4">
        <v>0</v>
      </c>
      <c r="C6" s="4">
        <v>1732</v>
      </c>
      <c r="D6" s="4">
        <v>1732</v>
      </c>
      <c r="G6" s="9">
        <f t="shared" si="0"/>
        <v>0.5</v>
      </c>
      <c r="H6" t="str">
        <f t="shared" si="1"/>
        <v>Moderate burden</v>
      </c>
      <c r="I6" s="4">
        <f t="shared" si="2"/>
        <v>866</v>
      </c>
      <c r="J6" t="str">
        <f t="shared" si="3"/>
        <v>Medium</v>
      </c>
    </row>
    <row r="7" spans="1:12" x14ac:dyDescent="0.2">
      <c r="B7" s="4"/>
      <c r="C7" s="4"/>
      <c r="D7" s="4"/>
    </row>
    <row r="9" spans="1:12" ht="85" x14ac:dyDescent="0.2">
      <c r="A9" s="8" t="s">
        <v>9</v>
      </c>
      <c r="F9" s="13" t="s">
        <v>21</v>
      </c>
      <c r="G9" s="12"/>
      <c r="J9" s="13" t="s">
        <v>40</v>
      </c>
      <c r="L9" s="19" t="s">
        <v>42</v>
      </c>
    </row>
    <row r="10" spans="1:12" x14ac:dyDescent="0.2">
      <c r="A10" s="8" t="s">
        <v>10</v>
      </c>
      <c r="F10" s="11"/>
      <c r="G10" s="12"/>
    </row>
    <row r="11" spans="1:12" ht="51" x14ac:dyDescent="0.2">
      <c r="A11" s="8" t="s">
        <v>11</v>
      </c>
      <c r="F11" s="13" t="s">
        <v>22</v>
      </c>
      <c r="G11" s="12"/>
    </row>
    <row r="12" spans="1:12" x14ac:dyDescent="0.2">
      <c r="A12" s="8" t="s">
        <v>12</v>
      </c>
    </row>
    <row r="13" spans="1:12" x14ac:dyDescent="0.2">
      <c r="A13" s="8" t="s">
        <v>13</v>
      </c>
    </row>
    <row r="14" spans="1:12" ht="51" x14ac:dyDescent="0.2">
      <c r="A14" s="7" t="s">
        <v>14</v>
      </c>
    </row>
  </sheetData>
  <pageMargins left="0.7" right="0.7" top="0.75" bottom="0.75" header="0.3" footer="0.3"/>
  <pageSetup paperSize="9" orientation="portrait" horizontalDpi="0" verticalDpi="0"/>
  <headerFooter>
    <oddFooter>&amp;LFull-time income assumption
£10/hour
40 hours/week
4.33 weeks/month
10×40×4.33≈1732
Full-time work is used as a sensitivity case and may not be permitted during term time under student visa conditions.
This shows methodological awareness.&amp;C&amp;A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6A34-867E-F747-B1FB-6D61FFAC07B6}">
  <dimension ref="A1:G32"/>
  <sheetViews>
    <sheetView workbookViewId="0">
      <selection activeCell="B18" sqref="B18"/>
    </sheetView>
  </sheetViews>
  <sheetFormatPr baseColWidth="10" defaultRowHeight="16" x14ac:dyDescent="0.2"/>
  <cols>
    <col min="1" max="1" width="68.1640625" customWidth="1"/>
    <col min="2" max="2" width="60.83203125" style="3" customWidth="1"/>
    <col min="4" max="4" width="55.1640625" customWidth="1"/>
    <col min="5" max="5" width="29.83203125" style="4" customWidth="1"/>
    <col min="6" max="6" width="24.6640625" customWidth="1"/>
    <col min="7" max="7" width="18.83203125" customWidth="1"/>
  </cols>
  <sheetData>
    <row r="1" spans="1:7" ht="27" x14ac:dyDescent="0.35">
      <c r="A1" s="10" t="s">
        <v>20</v>
      </c>
      <c r="B1" s="2"/>
      <c r="D1" s="1"/>
      <c r="E1" s="5"/>
      <c r="F1" s="5"/>
      <c r="G1" s="5"/>
    </row>
    <row r="2" spans="1:7" x14ac:dyDescent="0.2">
      <c r="B2" s="4"/>
      <c r="F2" s="4"/>
      <c r="G2" s="4"/>
    </row>
    <row r="3" spans="1:7" ht="19" x14ac:dyDescent="0.25">
      <c r="A3" t="s">
        <v>35</v>
      </c>
      <c r="B3" s="14" t="s">
        <v>36</v>
      </c>
      <c r="D3" s="14"/>
      <c r="F3" s="4"/>
      <c r="G3" s="4"/>
    </row>
    <row r="4" spans="1:7" ht="16" customHeight="1" x14ac:dyDescent="0.25">
      <c r="A4" t="s">
        <v>29</v>
      </c>
      <c r="B4" s="17">
        <v>866</v>
      </c>
      <c r="F4" s="4"/>
      <c r="G4" s="4"/>
    </row>
    <row r="5" spans="1:7" ht="16" customHeight="1" x14ac:dyDescent="0.2">
      <c r="A5" t="s">
        <v>30</v>
      </c>
      <c r="B5" s="9">
        <v>0.5</v>
      </c>
      <c r="D5" s="15"/>
    </row>
    <row r="6" spans="1:7" ht="16" customHeight="1" x14ac:dyDescent="0.2">
      <c r="A6" t="s">
        <v>31</v>
      </c>
      <c r="B6" s="9">
        <v>1.625</v>
      </c>
      <c r="D6" s="15"/>
    </row>
    <row r="7" spans="1:7" ht="16" customHeight="1" x14ac:dyDescent="0.2">
      <c r="A7" t="s">
        <v>32</v>
      </c>
      <c r="B7" t="s">
        <v>33</v>
      </c>
      <c r="D7" s="15"/>
    </row>
    <row r="8" spans="1:7" ht="39" customHeight="1" x14ac:dyDescent="0.2">
      <c r="A8" t="s">
        <v>30</v>
      </c>
      <c r="B8" t="s">
        <v>34</v>
      </c>
      <c r="D8" s="15"/>
    </row>
    <row r="9" spans="1:7" x14ac:dyDescent="0.2">
      <c r="A9" s="9"/>
    </row>
    <row r="11" spans="1:7" ht="34" x14ac:dyDescent="0.2">
      <c r="B11" s="13" t="s">
        <v>37</v>
      </c>
    </row>
    <row r="12" spans="1:7" ht="20" x14ac:dyDescent="0.25">
      <c r="A12" s="16" t="s">
        <v>24</v>
      </c>
    </row>
    <row r="13" spans="1:7" x14ac:dyDescent="0.2">
      <c r="A13" s="11"/>
    </row>
    <row r="14" spans="1:7" ht="34" x14ac:dyDescent="0.2">
      <c r="A14" s="15" t="s">
        <v>26</v>
      </c>
    </row>
    <row r="15" spans="1:7" ht="34" x14ac:dyDescent="0.2">
      <c r="A15" s="15" t="s">
        <v>27</v>
      </c>
    </row>
    <row r="16" spans="1:7" ht="34" x14ac:dyDescent="0.2">
      <c r="A16" s="15" t="s">
        <v>25</v>
      </c>
    </row>
    <row r="17" spans="1:1" ht="34" x14ac:dyDescent="0.2">
      <c r="A17" s="15" t="s">
        <v>28</v>
      </c>
    </row>
    <row r="18" spans="1:1" ht="19" x14ac:dyDescent="0.25">
      <c r="A18" s="16"/>
    </row>
    <row r="23" spans="1:1" ht="24" x14ac:dyDescent="0.3">
      <c r="A23" s="18"/>
    </row>
    <row r="32" spans="1:1" ht="24" x14ac:dyDescent="0.3">
      <c r="A32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Student_Scenarios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Sapkota</dc:creator>
  <cp:lastModifiedBy>Aakriti Sapkota</cp:lastModifiedBy>
  <dcterms:created xsi:type="dcterms:W3CDTF">2026-08-06T17:39:56Z</dcterms:created>
  <dcterms:modified xsi:type="dcterms:W3CDTF">2026-08-16T14:10:15Z</dcterms:modified>
</cp:coreProperties>
</file>